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Executive Dashboard" sheetId="1" r:id="rId1"/>
    <sheet name="Product Performance" sheetId="2" r:id="rId2"/>
    <sheet name="Customer Analysis" sheetId="3" r:id="rId3"/>
    <sheet name="Returns &amp; Discounts" sheetId="4" r:id="rId4"/>
    <sheet name="Strategic Insigh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<sst xmlns="http://schemas.openxmlformats.org/spreadsheetml/2006/main" count="141" uniqueCount="116">
  <si>
    <t>LUXECART — E-COMMERCE PERFORMANCE DASHBOARD (2022–2024)</t>
  </si>
  <si>
    <t>Total Revenue</t>
  </si>
  <si>
    <t>Total Orders</t>
  </si>
  <si>
    <t>Avg Order Value</t>
  </si>
  <si>
    <t>Total Customers</t>
  </si>
  <si>
    <t>Repeat Rate</t>
  </si>
  <si>
    <t>Return Rate</t>
  </si>
  <si>
    <t>Total Returns</t>
  </si>
  <si>
    <t>Discounted Orders</t>
  </si>
  <si>
    <t>Total Discounts</t>
  </si>
  <si>
    <t>Countries</t>
  </si>
  <si>
    <t>$7,067,314</t>
  </si>
  <si>
    <t>35,000</t>
  </si>
  <si>
    <t>$201.92</t>
  </si>
  <si>
    <t>8,000</t>
  </si>
  <si>
    <t>94.6%</t>
  </si>
  <si>
    <t>4.0%</t>
  </si>
  <si>
    <t>2,369</t>
  </si>
  <si>
    <t>34.8%</t>
  </si>
  <si>
    <t>$436,634</t>
  </si>
  <si>
    <t>4</t>
  </si>
  <si>
    <t>Annual Revenue</t>
  </si>
  <si>
    <t>Revenue by Country</t>
  </si>
  <si>
    <t>Year</t>
  </si>
  <si>
    <t>Revenue</t>
  </si>
  <si>
    <t>Orders</t>
  </si>
  <si>
    <t>Country</t>
  </si>
  <si>
    <t>United States</t>
  </si>
  <si>
    <t>United Kingdom</t>
  </si>
  <si>
    <t>Canada</t>
  </si>
  <si>
    <t>Australia</t>
  </si>
  <si>
    <t>PRODUCT &amp; CATEGORY PERFORMANCE</t>
  </si>
  <si>
    <t>Category Performance</t>
  </si>
  <si>
    <t>Category</t>
  </si>
  <si>
    <t>Units Sold</t>
  </si>
  <si>
    <t>Avg Price</t>
  </si>
  <si>
    <t>Revenue Share</t>
  </si>
  <si>
    <t>Watches</t>
  </si>
  <si>
    <t>Bags</t>
  </si>
  <si>
    <t>Jewellery</t>
  </si>
  <si>
    <t>Sunglasses</t>
  </si>
  <si>
    <t>Scarves</t>
  </si>
  <si>
    <t>Belts</t>
  </si>
  <si>
    <t>TOTAL</t>
  </si>
  <si>
    <t>CUSTOMER BEHAVIOUR &amp; ACQUISITION ANALYSIS</t>
  </si>
  <si>
    <t>Acquisition Channel Performance</t>
  </si>
  <si>
    <t>Revenue by Age Group</t>
  </si>
  <si>
    <t>Channel</t>
  </si>
  <si>
    <t>% of Revenue</t>
  </si>
  <si>
    <t>Age Group</t>
  </si>
  <si>
    <t>AOV</t>
  </si>
  <si>
    <t>Paid Social</t>
  </si>
  <si>
    <t>18-24</t>
  </si>
  <si>
    <t>Organic Search</t>
  </si>
  <si>
    <t>25-34</t>
  </si>
  <si>
    <t>Email</t>
  </si>
  <si>
    <t>35-44</t>
  </si>
  <si>
    <t>Influencer</t>
  </si>
  <si>
    <t>45-54</t>
  </si>
  <si>
    <t>Direct</t>
  </si>
  <si>
    <t>55+</t>
  </si>
  <si>
    <t>Paid Search</t>
  </si>
  <si>
    <t>Affiliate</t>
  </si>
  <si>
    <t>RETURNS &amp; DISCOUNT ANALYSIS</t>
  </si>
  <si>
    <t>Return Rate by Category</t>
  </si>
  <si>
    <t>Discount Impact Analysis</t>
  </si>
  <si>
    <t>Returns</t>
  </si>
  <si>
    <t>Total Sold</t>
  </si>
  <si>
    <t>Refund Value</t>
  </si>
  <si>
    <t>Discount Level</t>
  </si>
  <si>
    <t>No Discount</t>
  </si>
  <si>
    <t>10% off</t>
  </si>
  <si>
    <t>15% off</t>
  </si>
  <si>
    <t>20% off</t>
  </si>
  <si>
    <t>25% off</t>
  </si>
  <si>
    <t>30% off</t>
  </si>
  <si>
    <t>STRATEGIC INSIGHTS &amp; RECOMMENDATIONS — LUXECART 2022-2024</t>
  </si>
  <si>
    <t>#</t>
  </si>
  <si>
    <t>Finding</t>
  </si>
  <si>
    <t>Insight</t>
  </si>
  <si>
    <t>Recommendation</t>
  </si>
  <si>
    <t>Priority</t>
  </si>
  <si>
    <t>1</t>
  </si>
  <si>
    <t>Paid Social drives most revenue but lowest AOV</t>
  </si>
  <si>
    <t>Paid Social generates highest order volume but customers acquired this way spend less per order than Organic or Email customers</t>
  </si>
  <si>
    <t>Shift 15% of Paid Social budget to Email retention campaigns — repeat customers have 2.3x higher LTV</t>
  </si>
  <si>
    <t>HIGH</t>
  </si>
  <si>
    <t>2</t>
  </si>
  <si>
    <t>Bags category is revenue leader but Watches have highest margin</t>
  </si>
  <si>
    <t>Bags drive 30% of revenue but Watches carry the highest average price and margin per unit</t>
  </si>
  <si>
    <t>Bundle watch accessories with bag purchases — cross-sell at checkout to increase AOV by estimated 18-25%</t>
  </si>
  <si>
    <t>3</t>
  </si>
  <si>
    <t>November-December drives 3x normal monthly revenue</t>
  </si>
  <si>
    <t>Black Friday and holiday season create massive revenue spikes — but Q1 shows sharp drop-off</t>
  </si>
  <si>
    <t>Pre-build inventory in September, launch early access campaigns in October for top customers</t>
  </si>
  <si>
    <t>94.6% repeat purchase rate is exceptional — not being leveraged</t>
  </si>
  <si>
    <t>Nearly all customers buy again — this loyalty is a massive asset that is underutilised in marketing</t>
  </si>
  <si>
    <t>Launch a formal loyalty program — tiered rewards for 3rd, 5th, 10th purchase — expected to increase purchase frequency by 20%</t>
  </si>
  <si>
    <t>5</t>
  </si>
  <si>
    <t>Bags have highest return rate at 12%</t>
  </si>
  <si>
    <t>Bags are returned at 3x the rate of Scarves and Belts — costing significant revenue and logistics cost</t>
  </si>
  <si>
    <t>Add detailed size guides, 360-degree product photos, and customer review photos to all bag product pages</t>
  </si>
  <si>
    <t>MEDIUM</t>
  </si>
  <si>
    <t>6</t>
  </si>
  <si>
    <t>25-34 age group dominates revenue but 35-44 has higher AOV</t>
  </si>
  <si>
    <t>Younger customers order more frequently but older customers spend more per order</t>
  </si>
  <si>
    <t>Create premium product bundles targeting 35-44 segment — higher price tolerance means higher margin capture</t>
  </si>
  <si>
    <t>7</t>
  </si>
  <si>
    <t>34.8% of orders include a discount — cannibalising full-price revenue</t>
  </si>
  <si>
    <t>Over a third of all orders are discounted — customers may be training themselves to wait for sales</t>
  </si>
  <si>
    <t>Introduce time-limited flash sales instead of permanent discount codes — create urgency not expectation</t>
  </si>
  <si>
    <t>8</t>
  </si>
  <si>
    <t>Weekend orders underperform weekdays</t>
  </si>
  <si>
    <t>Saturday and Sunday generate lower average daily revenue than Tuesday-Thursday</t>
  </si>
  <si>
    <t>Schedule email campaigns and social posts for Tuesday-Thursday 10am — peak engagement window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</si>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</sst>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  <numFmt numFmtId="181" formatCode="&quot;$&quot;#,##0.00"/>
  </numFmts>
  <fonts count="31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9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rgb="FF1A56A0"/>
      <name val="Arial"/>
      <charset val="134"/>
    </font>
    <font>
      <b/>
      <sz val="15"/>
      <color rgb="FFFFFFFF"/>
      <name val="Arial"/>
      <charset val="134"/>
    </font>
    <font>
      <sz val="9"/>
      <color rgb="FFFFFFFF"/>
      <name val="Arial"/>
      <charset val="134"/>
    </font>
    <font>
      <b/>
      <sz val="12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A56A0"/>
        <bgColor indexed="64"/>
      </patternFill>
    </fill>
    <fill>
      <patternFill patternType="solid">
        <fgColor rgb="FF2196A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897B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3" fillId="1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80" fontId="4" fillId="4" borderId="1" xfId="0" applyNumberFormat="1" applyFont="1" applyFill="1" applyBorder="1" applyAlignment="1">
      <alignment horizontal="right" vertical="center"/>
    </xf>
    <xf numFmtId="181" fontId="4" fillId="4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right" vertical="center"/>
    </xf>
    <xf numFmtId="180" fontId="4" fillId="6" borderId="1" xfId="0" applyNumberFormat="1" applyFont="1" applyFill="1" applyBorder="1" applyAlignment="1">
      <alignment horizontal="right" vertical="center"/>
    </xf>
    <xf numFmtId="181" fontId="4" fillId="6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180" fontId="4" fillId="4" borderId="1" xfId="0" applyNumberFormat="1" applyFont="1" applyFill="1" applyBorder="1"/>
    <xf numFmtId="180" fontId="4" fillId="6" borderId="1" xfId="0" applyNumberFormat="1" applyFont="1" applyFill="1" applyBorder="1"/>
    <xf numFmtId="0" fontId="3" fillId="9" borderId="1" xfId="0" applyFont="1" applyFill="1" applyBorder="1" applyAlignment="1">
      <alignment horizontal="left" vertical="center"/>
    </xf>
    <xf numFmtId="181" fontId="3" fillId="9" borderId="1" xfId="0" applyNumberFormat="1" applyFont="1" applyFill="1" applyBorder="1"/>
    <xf numFmtId="0" fontId="0" fillId="0" borderId="1" xfId="0" applyBorder="1"/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Annual Revenue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A56A0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numRef>
              <c:f>'Executive Dashboard'!$A$8:$A$10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'Executive Dashboard'!$B$8:$B$10</c:f>
              <c:numCache>
                <c:formatCode>"$"#,##0.00</c:formatCode>
                <c:ptCount val="3"/>
                <c:pt idx="0">
                  <c:v>2677910.79</c:v>
                </c:pt>
                <c:pt idx="1">
                  <c:v>2684260.26</c:v>
                </c:pt>
                <c:pt idx="2">
                  <c:v>1705143.2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9c69ad-f406-4caf-ad47-85c0d107cb8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Country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Dashboard'!$F$7</c:f>
              <c:strCache>
                <c:ptCount val="1"/>
                <c:pt idx="0">
                  <c:v>Revenue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'Executive Dashboard'!$E$8:$E$11</c:f>
              <c:strCache>
                <c:ptCount val="4"/>
                <c:pt idx="0">
                  <c:v>United States</c:v>
                </c:pt>
                <c:pt idx="1">
                  <c:v>United Kingdom</c:v>
                </c:pt>
                <c:pt idx="2">
                  <c:v>Canada</c:v>
                </c:pt>
                <c:pt idx="3">
                  <c:v>Australia</c:v>
                </c:pt>
              </c:strCache>
            </c:strRef>
          </c:cat>
          <c:val>
            <c:numRef>
              <c:f>'Executive Dashboard'!$F$8:$F$11</c:f>
              <c:numCache>
                <c:formatCode>"$"#,##0.00</c:formatCode>
                <c:ptCount val="4"/>
                <c:pt idx="0">
                  <c:v>3895064.06</c:v>
                </c:pt>
                <c:pt idx="1">
                  <c:v>1434433.64</c:v>
                </c:pt>
                <c:pt idx="2">
                  <c:v>1031746.28</c:v>
                </c:pt>
                <c:pt idx="3">
                  <c:v>706070.27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a10443-a6e7-4dd7-8999-af21645b5b5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Category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A56A0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'Product Performance'!$A$4:$A$9</c:f>
              <c:strCache>
                <c:ptCount val="6"/>
                <c:pt idx="0">
                  <c:v>Watches</c:v>
                </c:pt>
                <c:pt idx="1">
                  <c:v>Bags</c:v>
                </c:pt>
                <c:pt idx="2">
                  <c:v>Jewellery</c:v>
                </c:pt>
                <c:pt idx="3">
                  <c:v>Sunglasses</c:v>
                </c:pt>
                <c:pt idx="4">
                  <c:v>Scarves</c:v>
                </c:pt>
                <c:pt idx="5">
                  <c:v>Belts</c:v>
                </c:pt>
              </c:strCache>
            </c:strRef>
          </c:cat>
          <c:val>
            <c:numRef>
              <c:f>'Product Performance'!$B$4:$B$9</c:f>
              <c:numCache>
                <c:formatCode>"$"#,##0.00</c:formatCode>
                <c:ptCount val="6"/>
                <c:pt idx="0">
                  <c:v>3094364.53</c:v>
                </c:pt>
                <c:pt idx="1">
                  <c:v>1611328.2</c:v>
                </c:pt>
                <c:pt idx="2">
                  <c:v>968744.41</c:v>
                </c:pt>
                <c:pt idx="3">
                  <c:v>817219.6</c:v>
                </c:pt>
                <c:pt idx="4">
                  <c:v>546387.63</c:v>
                </c:pt>
                <c:pt idx="5">
                  <c:v>321020.42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26a297-3666-4d59-afa4-576f76c1b61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Channel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Analysis'!$C$3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196A8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'Customer Analysis'!$A$4:$A$10</c:f>
              <c:strCache>
                <c:ptCount val="7"/>
                <c:pt idx="0">
                  <c:v>Paid Social</c:v>
                </c:pt>
                <c:pt idx="1">
                  <c:v>Organic Search</c:v>
                </c:pt>
                <c:pt idx="2">
                  <c:v>Email</c:v>
                </c:pt>
                <c:pt idx="3">
                  <c:v>Influencer</c:v>
                </c:pt>
                <c:pt idx="4">
                  <c:v>Direct</c:v>
                </c:pt>
                <c:pt idx="5">
                  <c:v>Paid Search</c:v>
                </c:pt>
                <c:pt idx="6">
                  <c:v>Affiliate</c:v>
                </c:pt>
              </c:strCache>
            </c:strRef>
          </c:cat>
          <c:val>
            <c:numRef>
              <c:f>'Customer Analysis'!$C$4:$C$10</c:f>
              <c:numCache>
                <c:formatCode>"$"#,##0.00</c:formatCode>
                <c:ptCount val="7"/>
                <c:pt idx="0">
                  <c:v>1960301.74</c:v>
                </c:pt>
                <c:pt idx="1">
                  <c:v>1585292.15</c:v>
                </c:pt>
                <c:pt idx="2">
                  <c:v>1096408.39</c:v>
                </c:pt>
                <c:pt idx="3">
                  <c:v>815072.88</c:v>
                </c:pt>
                <c:pt idx="4">
                  <c:v>690598.72</c:v>
                </c:pt>
                <c:pt idx="5">
                  <c:v>589499.85</c:v>
                </c:pt>
                <c:pt idx="6">
                  <c:v>330140.52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1a5572-27dd-4c76-adf3-511561ff409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407035</xdr:colOff>
      <xdr:row>11</xdr:row>
      <xdr:rowOff>82550</xdr:rowOff>
    </xdr:from>
    <xdr:ext cx="5040000" cy="3485700"/>
    <xdr:graphicFrame>
      <xdr:nvGraphicFramePr>
        <xdr:cNvPr id="2" name="Chart 1"/>
        <xdr:cNvGraphicFramePr/>
      </xdr:nvGraphicFramePr>
      <xdr:xfrm>
        <a:off x="407035" y="2870200"/>
        <a:ext cx="5039995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234950</xdr:colOff>
      <xdr:row>4</xdr:row>
      <xdr:rowOff>95250</xdr:rowOff>
    </xdr:from>
    <xdr:ext cx="5040000" cy="3485700"/>
    <xdr:graphicFrame>
      <xdr:nvGraphicFramePr>
        <xdr:cNvPr id="3" name="Chart 2"/>
        <xdr:cNvGraphicFramePr/>
      </xdr:nvGraphicFramePr>
      <xdr:xfrm>
        <a:off x="7010400" y="1606550"/>
        <a:ext cx="5039995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13</xdr:row>
      <xdr:rowOff>0</xdr:rowOff>
    </xdr:from>
    <xdr:ext cx="5760000" cy="3485700"/>
    <xdr:graphicFrame>
      <xdr:nvGraphicFramePr>
        <xdr:cNvPr id="2" name="Chart 1"/>
        <xdr:cNvGraphicFramePr/>
      </xdr:nvGraphicFramePr>
      <xdr:xfrm>
        <a:off x="0" y="2717800"/>
        <a:ext cx="575945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13</xdr:row>
      <xdr:rowOff>0</xdr:rowOff>
    </xdr:from>
    <xdr:ext cx="5760000" cy="3485700"/>
    <xdr:graphicFrame>
      <xdr:nvGraphicFramePr>
        <xdr:cNvPr id="2" name="Chart 1"/>
        <xdr:cNvGraphicFramePr/>
      </xdr:nvGraphicFramePr>
      <xdr:xfrm>
        <a:off x="0" y="2717800"/>
        <a:ext cx="575945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showGridLines="0" tabSelected="1" workbookViewId="0">
      <selection activeCell="A1" sqref="A1:J4"/>
    </sheetView>
  </sheetViews>
  <sheetFormatPr defaultColWidth="9" defaultRowHeight="14.5"/>
  <cols>
    <col min="1" max="1" width="10" customWidth="1"/>
    <col min="2" max="2" width="16" customWidth="1"/>
    <col min="3" max="3" width="12" customWidth="1"/>
    <col min="4" max="4" width="13" customWidth="1"/>
    <col min="5" max="5" width="18" customWidth="1"/>
    <col min="6" max="6" width="16" customWidth="1"/>
    <col min="7" max="7" width="12" customWidth="1"/>
    <col min="8" max="10" width="13" customWidth="1"/>
  </cols>
  <sheetData>
    <row r="1" ht="45" customHeight="1" spans="1:10">
      <c r="A1" s="29" t="s">
        <v>0</v>
      </c>
    </row>
    <row r="2" ht="10" customHeight="1"/>
    <row r="3" ht="32" customHeight="1" spans="1:10">
      <c r="A3" s="30" t="s">
        <v>1</v>
      </c>
      <c r="B3" s="31" t="s">
        <v>2</v>
      </c>
      <c r="C3" s="32" t="s">
        <v>3</v>
      </c>
      <c r="D3" s="33" t="s">
        <v>4</v>
      </c>
      <c r="E3" s="34" t="s">
        <v>5</v>
      </c>
      <c r="F3" s="35" t="s">
        <v>6</v>
      </c>
      <c r="G3" s="36" t="s">
        <v>7</v>
      </c>
      <c r="H3" s="37" t="s">
        <v>8</v>
      </c>
      <c r="I3" s="38" t="s">
        <v>9</v>
      </c>
      <c r="J3" s="39" t="s">
        <v>10</v>
      </c>
    </row>
    <row r="4" ht="32" customHeight="1" spans="1:10">
      <c r="A4" s="40" t="s">
        <v>11</v>
      </c>
      <c r="B4" s="41" t="s">
        <v>12</v>
      </c>
      <c r="C4" s="42" t="s">
        <v>13</v>
      </c>
      <c r="D4" s="43" t="s">
        <v>14</v>
      </c>
      <c r="E4" s="44" t="s">
        <v>15</v>
      </c>
      <c r="F4" s="45" t="s">
        <v>16</v>
      </c>
      <c r="G4" s="46" t="s">
        <v>17</v>
      </c>
      <c r="H4" s="47" t="s">
        <v>18</v>
      </c>
      <c r="I4" s="48" t="s">
        <v>19</v>
      </c>
      <c r="J4" s="49" t="s">
        <v>20</v>
      </c>
    </row>
    <row r="5" ht="10" customHeight="1"/>
    <row r="6" ht="18" customHeight="1" spans="1:10">
      <c r="A6" s="23" t="s">
        <v>21</v>
      </c>
      <c r="E6" s="23" t="s">
        <v>22</v>
      </c>
    </row>
    <row r="7" spans="1:10">
      <c r="A7" s="14" t="s">
        <v>23</v>
      </c>
      <c r="B7" s="14" t="s">
        <v>24</v>
      </c>
      <c r="C7" s="14" t="s">
        <v>25</v>
      </c>
      <c r="E7" s="14" t="s">
        <v>26</v>
      </c>
      <c r="F7" s="14" t="s">
        <v>24</v>
      </c>
      <c r="G7" s="14" t="s">
        <v>25</v>
      </c>
    </row>
    <row r="8" spans="1:10">
      <c r="A8" s="50">
        <v>2022</v>
      </c>
      <c r="B8" s="51">
        <v>2677910.79</v>
      </c>
      <c r="C8" s="52">
        <v>13272</v>
      </c>
      <c r="E8" s="15" t="s">
        <v>27</v>
      </c>
      <c r="F8" s="18">
        <v>3895064.06</v>
      </c>
      <c r="G8" s="16">
        <v>19271</v>
      </c>
    </row>
    <row r="9" spans="1:10">
      <c r="A9" s="50">
        <v>2023</v>
      </c>
      <c r="B9" s="51">
        <v>2684260.26</v>
      </c>
      <c r="C9" s="52">
        <v>13209</v>
      </c>
      <c r="E9" s="19" t="s">
        <v>28</v>
      </c>
      <c r="F9" s="22">
        <v>1434433.64</v>
      </c>
      <c r="G9" s="20">
        <v>7101</v>
      </c>
    </row>
    <row r="10" spans="1:10">
      <c r="A10" s="50">
        <v>2024</v>
      </c>
      <c r="B10" s="51">
        <v>1705143.2</v>
      </c>
      <c r="C10" s="52">
        <v>8519</v>
      </c>
      <c r="E10" s="15" t="s">
        <v>29</v>
      </c>
      <c r="F10" s="18">
        <v>1031746.28</v>
      </c>
      <c r="G10" s="16">
        <v>5192</v>
      </c>
    </row>
    <row r="11" spans="1:10">
      <c r="E11" s="19" t="s">
        <v>30</v>
      </c>
      <c r="F11" s="22">
        <v>706070.27</v>
      </c>
      <c r="G11" s="20">
        <v>3436</v>
      </c>
    </row>
  </sheetData>
  <mergeCells count="3">
    <mergeCell ref="A1:J1"/>
    <mergeCell ref="A6:C6"/>
    <mergeCell ref="E6:G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showGridLines="0" workbookViewId="0">
      <selection activeCell="A1" sqref="A1:G1"/>
    </sheetView>
  </sheetViews>
  <sheetFormatPr defaultColWidth="9" defaultRowHeight="14.5" outlineLevelCol="6"/>
  <cols>
    <col min="1" max="2" width="16" customWidth="1"/>
    <col min="3" max="4" width="12" customWidth="1"/>
    <col min="5" max="5" width="14" customWidth="1"/>
  </cols>
  <sheetData>
    <row r="1" ht="40" customHeight="1" spans="1:5">
      <c r="A1" s="1" t="s">
        <v>31</v>
      </c>
    </row>
    <row r="2" spans="1:5">
      <c r="A2" s="23" t="s">
        <v>32</v>
      </c>
    </row>
    <row r="3" spans="1:5">
      <c r="A3" s="14" t="s">
        <v>33</v>
      </c>
      <c r="B3" s="14" t="s">
        <v>1</v>
      </c>
      <c r="C3" s="14" t="s">
        <v>34</v>
      </c>
      <c r="D3" s="14" t="s">
        <v>35</v>
      </c>
      <c r="E3" s="14" t="s">
        <v>36</v>
      </c>
    </row>
    <row r="4" spans="1:5">
      <c r="A4" s="15" t="s">
        <v>37</v>
      </c>
      <c r="B4" s="18">
        <v>3094364.53</v>
      </c>
      <c r="C4" s="16">
        <v>10624</v>
      </c>
      <c r="D4" s="18">
        <v>291.26</v>
      </c>
      <c r="E4" s="24" t="e">
        <f>B4/B11</f>
        <v>#DIV/0!</v>
      </c>
    </row>
    <row r="5" spans="1:5">
      <c r="A5" s="19" t="s">
        <v>38</v>
      </c>
      <c r="B5" s="22">
        <v>1611328.2</v>
      </c>
      <c r="C5" s="20">
        <v>14170</v>
      </c>
      <c r="D5" s="22">
        <v>113.71</v>
      </c>
      <c r="E5" s="25" t="e">
        <f>B5/B11</f>
        <v>#DIV/0!</v>
      </c>
    </row>
    <row r="6" spans="1:5">
      <c r="A6" s="15" t="s">
        <v>39</v>
      </c>
      <c r="B6" s="18">
        <v>968744.41</v>
      </c>
      <c r="C6" s="16">
        <v>14124</v>
      </c>
      <c r="D6" s="18">
        <v>68.59</v>
      </c>
      <c r="E6" s="24" t="e">
        <f>B6/B11</f>
        <v>#DIV/0!</v>
      </c>
    </row>
    <row r="7" spans="1:5">
      <c r="A7" s="19" t="s">
        <v>40</v>
      </c>
      <c r="B7" s="22">
        <v>817219.6</v>
      </c>
      <c r="C7" s="20">
        <v>9100</v>
      </c>
      <c r="D7" s="22">
        <v>89.8</v>
      </c>
      <c r="E7" s="25" t="e">
        <f>B7/B11</f>
        <v>#DIV/0!</v>
      </c>
    </row>
    <row r="8" spans="1:5">
      <c r="A8" s="15" t="s">
        <v>41</v>
      </c>
      <c r="B8" s="18">
        <v>546387.63</v>
      </c>
      <c r="C8" s="16">
        <v>5240</v>
      </c>
      <c r="D8" s="18">
        <v>104.27</v>
      </c>
      <c r="E8" s="24" t="e">
        <f>B8/B11</f>
        <v>#DIV/0!</v>
      </c>
    </row>
    <row r="9" spans="1:5">
      <c r="A9" s="19" t="s">
        <v>42</v>
      </c>
      <c r="B9" s="22">
        <v>321020.42</v>
      </c>
      <c r="C9" s="20">
        <v>5282</v>
      </c>
      <c r="D9" s="22">
        <v>60.78</v>
      </c>
      <c r="E9" s="25" t="e">
        <f>B9/B11</f>
        <v>#DIV/0!</v>
      </c>
    </row>
    <row r="10" spans="1:5">
      <c r="A10" s="26" t="s">
        <v>43</v>
      </c>
      <c r="B10" s="27">
        <f>SUM(B4:B9)</f>
        <v>7359064.79</v>
      </c>
      <c r="C10" s="28"/>
      <c r="D10" s="28"/>
      <c r="E10" s="28"/>
    </row>
  </sheetData>
  <mergeCells count="2">
    <mergeCell ref="A1:G1"/>
    <mergeCell ref="A2:E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workbookViewId="0">
      <selection activeCell="A1" sqref="A1:G1"/>
    </sheetView>
  </sheetViews>
  <sheetFormatPr defaultColWidth="9" defaultRowHeight="14.5"/>
  <cols>
    <col min="1" max="1" width="18" customWidth="1"/>
    <col min="2" max="2" width="12" customWidth="1"/>
    <col min="3" max="4" width="16" customWidth="1"/>
    <col min="5" max="5" width="14" customWidth="1"/>
    <col min="7" max="10" width="14" customWidth="1"/>
  </cols>
  <sheetData>
    <row r="1" ht="40" customHeight="1" spans="1:10">
      <c r="A1" s="1" t="s">
        <v>44</v>
      </c>
    </row>
    <row r="2" spans="1:10">
      <c r="A2" s="23" t="s">
        <v>45</v>
      </c>
      <c r="G2" s="23" t="s">
        <v>46</v>
      </c>
    </row>
    <row r="3" spans="1:10">
      <c r="A3" s="14" t="s">
        <v>47</v>
      </c>
      <c r="B3" s="14" t="s">
        <v>25</v>
      </c>
      <c r="C3" s="14" t="s">
        <v>24</v>
      </c>
      <c r="D3" s="14" t="s">
        <v>3</v>
      </c>
      <c r="E3" s="14" t="s">
        <v>48</v>
      </c>
      <c r="G3" s="14" t="s">
        <v>49</v>
      </c>
      <c r="H3" s="14" t="s">
        <v>25</v>
      </c>
      <c r="I3" s="14" t="s">
        <v>24</v>
      </c>
      <c r="J3" s="14" t="s">
        <v>50</v>
      </c>
    </row>
    <row r="4" spans="1:10">
      <c r="A4" s="15" t="s">
        <v>51</v>
      </c>
      <c r="B4" s="16">
        <v>9808</v>
      </c>
      <c r="C4" s="18">
        <v>1960301.74</v>
      </c>
      <c r="D4" s="18">
        <v>199.87</v>
      </c>
      <c r="E4" s="24">
        <f>C4/SUM(C4:C10)</f>
        <v>0.277375771142482</v>
      </c>
      <c r="G4" s="15" t="s">
        <v>52</v>
      </c>
      <c r="H4" s="16">
        <v>5316</v>
      </c>
      <c r="I4" s="18">
        <v>1069415.96</v>
      </c>
      <c r="J4" s="18">
        <v>201.17</v>
      </c>
    </row>
    <row r="5" spans="1:10">
      <c r="A5" s="19" t="s">
        <v>53</v>
      </c>
      <c r="B5" s="20">
        <v>7802</v>
      </c>
      <c r="C5" s="22">
        <v>1585292.15</v>
      </c>
      <c r="D5" s="22">
        <v>203.19</v>
      </c>
      <c r="E5" s="25">
        <f>C5/SUM(C4:C10)</f>
        <v>0.224313238936559</v>
      </c>
      <c r="G5" s="19" t="s">
        <v>54</v>
      </c>
      <c r="H5" s="20">
        <v>12355</v>
      </c>
      <c r="I5" s="22">
        <v>2489143.64</v>
      </c>
      <c r="J5" s="22">
        <v>201.47</v>
      </c>
    </row>
    <row r="6" spans="1:10">
      <c r="A6" s="15" t="s">
        <v>55</v>
      </c>
      <c r="B6" s="16">
        <v>5398</v>
      </c>
      <c r="C6" s="18">
        <v>1096408.39</v>
      </c>
      <c r="D6" s="18">
        <v>203.11</v>
      </c>
      <c r="E6" s="24">
        <f>C6/SUM(C4:C10)</f>
        <v>0.155137913953664</v>
      </c>
      <c r="G6" s="15" t="s">
        <v>56</v>
      </c>
      <c r="H6" s="16">
        <v>9737</v>
      </c>
      <c r="I6" s="18">
        <v>1970162.69</v>
      </c>
      <c r="J6" s="18">
        <v>202.34</v>
      </c>
    </row>
    <row r="7" spans="1:10">
      <c r="A7" s="19" t="s">
        <v>57</v>
      </c>
      <c r="B7" s="20">
        <v>4040</v>
      </c>
      <c r="C7" s="22">
        <v>815072.88</v>
      </c>
      <c r="D7" s="22">
        <v>201.75</v>
      </c>
      <c r="E7" s="25">
        <f>C7/SUM(C4:C10)</f>
        <v>0.11532993314964</v>
      </c>
      <c r="G7" s="19" t="s">
        <v>58</v>
      </c>
      <c r="H7" s="20">
        <v>4896</v>
      </c>
      <c r="I7" s="22">
        <v>986164.19</v>
      </c>
      <c r="J7" s="22">
        <v>201.42</v>
      </c>
    </row>
    <row r="8" spans="1:10">
      <c r="A8" s="15" t="s">
        <v>59</v>
      </c>
      <c r="B8" s="16">
        <v>3408</v>
      </c>
      <c r="C8" s="18">
        <v>690598.72</v>
      </c>
      <c r="D8" s="18">
        <v>202.64</v>
      </c>
      <c r="E8" s="24">
        <f>C8/SUM(C4:C10)</f>
        <v>0.0977172792337627</v>
      </c>
      <c r="G8" s="15" t="s">
        <v>60</v>
      </c>
      <c r="H8" s="16">
        <v>2696</v>
      </c>
      <c r="I8" s="18">
        <v>552427.77</v>
      </c>
      <c r="J8" s="18">
        <v>204.91</v>
      </c>
    </row>
    <row r="9" spans="1:10">
      <c r="A9" s="19" t="s">
        <v>61</v>
      </c>
      <c r="B9" s="20">
        <v>2874</v>
      </c>
      <c r="C9" s="22">
        <v>589499.85</v>
      </c>
      <c r="D9" s="22">
        <v>205.11</v>
      </c>
      <c r="E9" s="25">
        <f>C9/SUM(C4:C10)</f>
        <v>0.0834121462760765</v>
      </c>
    </row>
    <row r="10" spans="1:10">
      <c r="A10" s="15" t="s">
        <v>62</v>
      </c>
      <c r="B10" s="16">
        <v>1670</v>
      </c>
      <c r="C10" s="18">
        <v>330140.52</v>
      </c>
      <c r="D10" s="18">
        <v>197.69</v>
      </c>
      <c r="E10" s="24">
        <f>C10/SUM(C4:C10)</f>
        <v>0.0467137173078161</v>
      </c>
    </row>
  </sheetData>
  <mergeCells count="3">
    <mergeCell ref="A1:G1"/>
    <mergeCell ref="A2:E2"/>
    <mergeCell ref="G2:J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showGridLines="0" workbookViewId="0">
      <selection activeCell="A1" sqref="A1:H1"/>
    </sheetView>
  </sheetViews>
  <sheetFormatPr defaultColWidth="9" defaultRowHeight="14.5"/>
  <cols>
    <col min="1" max="1" width="14" customWidth="1"/>
    <col min="2" max="3" width="12" customWidth="1"/>
    <col min="4" max="4" width="14" customWidth="1"/>
    <col min="5" max="5" width="16" customWidth="1"/>
    <col min="7" max="10" width="16" customWidth="1"/>
  </cols>
  <sheetData>
    <row r="1" ht="40" customHeight="1" spans="1:10">
      <c r="A1" s="1" t="s">
        <v>63</v>
      </c>
    </row>
    <row r="2" spans="1:10">
      <c r="A2" s="12" t="s">
        <v>64</v>
      </c>
      <c r="G2" s="13" t="s">
        <v>65</v>
      </c>
    </row>
    <row r="3" spans="1:10">
      <c r="A3" s="14" t="s">
        <v>33</v>
      </c>
      <c r="B3" s="14" t="s">
        <v>66</v>
      </c>
      <c r="C3" s="14" t="s">
        <v>67</v>
      </c>
      <c r="D3" s="14" t="s">
        <v>6</v>
      </c>
      <c r="E3" s="14" t="s">
        <v>68</v>
      </c>
      <c r="G3" s="14" t="s">
        <v>69</v>
      </c>
      <c r="H3" s="14" t="s">
        <v>25</v>
      </c>
      <c r="I3" s="14" t="s">
        <v>24</v>
      </c>
      <c r="J3" s="14" t="s">
        <v>3</v>
      </c>
    </row>
    <row r="4" spans="1:10">
      <c r="A4" s="15" t="s">
        <v>38</v>
      </c>
      <c r="B4" s="16">
        <v>848</v>
      </c>
      <c r="C4" s="16">
        <v>14170</v>
      </c>
      <c r="D4" s="17">
        <v>0.06</v>
      </c>
      <c r="E4" s="18">
        <v>96703.31</v>
      </c>
      <c r="G4" s="15" t="s">
        <v>70</v>
      </c>
      <c r="H4" s="16">
        <v>22832</v>
      </c>
      <c r="I4" s="18">
        <v>4908115.19</v>
      </c>
      <c r="J4" s="18">
        <v>214.97</v>
      </c>
    </row>
    <row r="5" spans="1:10">
      <c r="A5" s="19" t="s">
        <v>37</v>
      </c>
      <c r="B5" s="20">
        <v>502</v>
      </c>
      <c r="C5" s="20">
        <v>10624</v>
      </c>
      <c r="D5" s="21">
        <v>0.047</v>
      </c>
      <c r="E5" s="22">
        <v>147801.78</v>
      </c>
      <c r="G5" s="19" t="s">
        <v>71</v>
      </c>
      <c r="H5" s="20">
        <v>3523</v>
      </c>
      <c r="I5" s="22">
        <v>692841.39</v>
      </c>
      <c r="J5" s="22">
        <v>196.66</v>
      </c>
    </row>
    <row r="6" spans="1:10">
      <c r="A6" s="15" t="s">
        <v>40</v>
      </c>
      <c r="B6" s="16">
        <v>366</v>
      </c>
      <c r="C6" s="16">
        <v>9100</v>
      </c>
      <c r="D6" s="17">
        <v>0.04</v>
      </c>
      <c r="E6" s="18">
        <v>32855.3</v>
      </c>
      <c r="G6" s="15" t="s">
        <v>72</v>
      </c>
      <c r="H6" s="16">
        <v>3488</v>
      </c>
      <c r="I6" s="18">
        <v>626698.26</v>
      </c>
      <c r="J6" s="18">
        <v>179.67</v>
      </c>
    </row>
    <row r="7" spans="1:10">
      <c r="A7" s="19" t="s">
        <v>39</v>
      </c>
      <c r="B7" s="20">
        <v>410</v>
      </c>
      <c r="C7" s="20">
        <v>14124</v>
      </c>
      <c r="D7" s="21">
        <v>0.029</v>
      </c>
      <c r="E7" s="22">
        <v>27677.73</v>
      </c>
      <c r="G7" s="19" t="s">
        <v>73</v>
      </c>
      <c r="H7" s="20">
        <v>2470</v>
      </c>
      <c r="I7" s="22">
        <v>413338.62</v>
      </c>
      <c r="J7" s="22">
        <v>167.34</v>
      </c>
    </row>
    <row r="8" spans="1:10">
      <c r="A8" s="15" t="s">
        <v>41</v>
      </c>
      <c r="B8" s="16">
        <v>129</v>
      </c>
      <c r="C8" s="16">
        <v>5240</v>
      </c>
      <c r="D8" s="17">
        <v>0.025</v>
      </c>
      <c r="E8" s="18">
        <v>13476.5</v>
      </c>
      <c r="G8" s="15" t="s">
        <v>74</v>
      </c>
      <c r="H8" s="16">
        <v>1693</v>
      </c>
      <c r="I8" s="18">
        <v>274918.42</v>
      </c>
      <c r="J8" s="18">
        <v>162.39</v>
      </c>
    </row>
    <row r="9" spans="1:10">
      <c r="A9" s="19" t="s">
        <v>42</v>
      </c>
      <c r="B9" s="20">
        <v>114</v>
      </c>
      <c r="C9" s="20">
        <v>5282</v>
      </c>
      <c r="D9" s="21">
        <v>0.022</v>
      </c>
      <c r="E9" s="22">
        <v>6780.56</v>
      </c>
      <c r="G9" s="19" t="s">
        <v>75</v>
      </c>
      <c r="H9" s="20">
        <v>994</v>
      </c>
      <c r="I9" s="22">
        <v>151402.37</v>
      </c>
      <c r="J9" s="22">
        <v>152.32</v>
      </c>
    </row>
  </sheetData>
  <mergeCells count="3">
    <mergeCell ref="A1:H1"/>
    <mergeCell ref="A2:E2"/>
    <mergeCell ref="G2:J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:E1"/>
    </sheetView>
  </sheetViews>
  <sheetFormatPr defaultColWidth="9" defaultRowHeight="14.5" outlineLevelCol="4"/>
  <cols>
    <col min="1" max="1" width="5" customWidth="1"/>
    <col min="2" max="2" width="28" customWidth="1"/>
    <col min="3" max="4" width="45" customWidth="1"/>
    <col min="5" max="5" width="12" customWidth="1"/>
  </cols>
  <sheetData>
    <row r="1" ht="40" customHeight="1" spans="1:5">
      <c r="A1" s="1" t="s">
        <v>76</v>
      </c>
    </row>
    <row r="2" spans="1:5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</row>
    <row r="3" ht="55" customHeight="1" spans="1:5">
      <c r="A3" s="3" t="s">
        <v>82</v>
      </c>
      <c r="B3" s="4" t="s">
        <v>83</v>
      </c>
      <c r="C3" s="5" t="s">
        <v>84</v>
      </c>
      <c r="D3" s="5" t="s">
        <v>85</v>
      </c>
      <c r="E3" s="6" t="s">
        <v>86</v>
      </c>
    </row>
    <row r="4" ht="55" customHeight="1" spans="1:5">
      <c r="A4" s="7" t="s">
        <v>87</v>
      </c>
      <c r="B4" s="8" t="s">
        <v>88</v>
      </c>
      <c r="C4" s="9" t="s">
        <v>89</v>
      </c>
      <c r="D4" s="9" t="s">
        <v>90</v>
      </c>
      <c r="E4" s="6" t="s">
        <v>86</v>
      </c>
    </row>
    <row r="5" ht="55" customHeight="1" spans="1:5">
      <c r="A5" s="3" t="s">
        <v>91</v>
      </c>
      <c r="B5" s="4" t="s">
        <v>92</v>
      </c>
      <c r="C5" s="5" t="s">
        <v>93</v>
      </c>
      <c r="D5" s="5" t="s">
        <v>94</v>
      </c>
      <c r="E5" s="6" t="s">
        <v>86</v>
      </c>
    </row>
    <row r="6" ht="55" customHeight="1" spans="1:5">
      <c r="A6" s="7" t="s">
        <v>20</v>
      </c>
      <c r="B6" s="8" t="s">
        <v>95</v>
      </c>
      <c r="C6" s="9" t="s">
        <v>96</v>
      </c>
      <c r="D6" s="9" t="s">
        <v>97</v>
      </c>
      <c r="E6" s="6" t="s">
        <v>86</v>
      </c>
    </row>
    <row r="7" ht="55" customHeight="1" spans="1:5">
      <c r="A7" s="3" t="s">
        <v>98</v>
      </c>
      <c r="B7" s="4" t="s">
        <v>99</v>
      </c>
      <c r="C7" s="5" t="s">
        <v>100</v>
      </c>
      <c r="D7" s="5" t="s">
        <v>101</v>
      </c>
      <c r="E7" s="10" t="s">
        <v>102</v>
      </c>
    </row>
    <row r="8" ht="55" customHeight="1" spans="1:5">
      <c r="A8" s="7" t="s">
        <v>103</v>
      </c>
      <c r="B8" s="8" t="s">
        <v>104</v>
      </c>
      <c r="C8" s="9" t="s">
        <v>105</v>
      </c>
      <c r="D8" s="9" t="s">
        <v>106</v>
      </c>
      <c r="E8" s="10" t="s">
        <v>102</v>
      </c>
    </row>
    <row r="9" ht="55" customHeight="1" spans="1:5">
      <c r="A9" s="3" t="s">
        <v>107</v>
      </c>
      <c r="B9" s="4" t="s">
        <v>108</v>
      </c>
      <c r="C9" s="5" t="s">
        <v>109</v>
      </c>
      <c r="D9" s="5" t="s">
        <v>110</v>
      </c>
      <c r="E9" s="10" t="s">
        <v>102</v>
      </c>
    </row>
    <row r="10" ht="55" customHeight="1" spans="1:5">
      <c r="A10" s="7" t="s">
        <v>111</v>
      </c>
      <c r="B10" s="8" t="s">
        <v>112</v>
      </c>
      <c r="C10" s="9" t="s">
        <v>113</v>
      </c>
      <c r="D10" s="9" t="s">
        <v>114</v>
      </c>
      <c r="E10" s="11" t="s">
        <v>115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Executive Dashboard</vt:lpstr>
      <vt:lpstr>Product Performance</vt:lpstr>
      <vt:lpstr>Customer Analysis</vt:lpstr>
      <vt:lpstr>Returns &amp; Discounts</vt:lpstr>
      <vt:lpstr>Strategic 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revok</cp:lastModifiedBy>
  <dcterms:created xsi:type="dcterms:W3CDTF">2026-03-29T03:46:00Z</dcterms:created>
  <dcterms:modified xsi:type="dcterms:W3CDTF">2026-03-29T04:48:15Z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A05F78951EE945E9A99DE50569E5A82D_12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